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8632a406f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Register" sheetId="1" r:id="R1ab4bc1f596f44a2"/>
    <x:sheet xmlns:r="http://schemas.openxmlformats.org/officeDocument/2006/relationships" name="Summary" sheetId="2" r:id="R37ac40a0e433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D7A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BBF7D0"/>
        </x:patternFill>
      </x:fill>
    </x:dxf>
    <x:dxf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eaca59e2d4aec" /><Relationship Type="http://schemas.openxmlformats.org/officeDocument/2006/relationships/theme" Target="/xl/theme/theme1.xml" Id="Rf5b1a4b8111448a1" /><Relationship Type="http://schemas.openxmlformats.org/officeDocument/2006/relationships/sharedStrings" Target="/xl/sharedStrings.xml" Id="R779ed2b559e4456a" /><Relationship Type="http://schemas.openxmlformats.org/officeDocument/2006/relationships/worksheet" Target="/xl/worksheets/sheet1.xml" Id="R1ab4bc1f596f44a2" /><Relationship Type="http://schemas.openxmlformats.org/officeDocument/2006/relationships/worksheet" Target="/xl/worksheets/sheet2.xml" Id="R37ac40a0e4334350" /></Relationships>
</file>

<file path=xl/tables/table1.xml><?xml version="1.0" encoding="utf-8"?>
<x:table xmlns:x="http://schemas.openxmlformats.org/spreadsheetml/2006/main" id="1" name="AuditRegisterTable" displayName="AuditRegisterTable" ref="A1:K25" headerRowCount="1" totalsRowCount="0" totalsRowShown="0">
  <x:tableColumns count="11">
    <x:tableColumn id="1" name="ID"/>
    <x:tableColumn id="2" name="Severity"/>
    <x:tableColumn id="3" name="Area"/>
    <x:tableColumn id="4" name="Issue"/>
    <x:tableColumn id="5" name="Status"/>
    <x:tableColumn id="6" name="Priority"/>
    <x:tableColumn id="7" name="Fix order"/>
    <x:tableColumn id="8" name="Branch"/>
    <x:tableColumn id="9" name="Commit/PR"/>
    <x:tableColumn id="10" name="Verification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ab65c6ade3447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0" hidden="0" customWidth="1"/>
    <x:col min="4" max="4" width="54" hidden="0" customWidth="1"/>
    <x:col min="5" max="5" width="14" hidden="0" customWidth="1"/>
    <x:col min="6" max="6" width="10" hidden="0" customWidth="1"/>
    <x:col min="7" max="7" width="10" hidden="0" customWidth="1"/>
    <x:col min="8" max="8" width="14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>
      <x:c r="A1" s="10" t="str">
        <x:v>ID</x:v>
      </x:c>
      <x:c r="B1" s="10" t="str">
        <x:v>Severity</x:v>
      </x:c>
      <x:c r="C1" s="10" t="str">
        <x:v>Area</x:v>
      </x:c>
      <x:c r="D1" s="10" t="str">
        <x:v>Issue</x:v>
      </x:c>
      <x:c r="E1" s="10" t="str">
        <x:v>Status</x:v>
      </x:c>
      <x:c r="F1" s="10" t="str">
        <x:v>Priority</x:v>
      </x:c>
      <x:c r="G1" s="10" t="str">
        <x:v>Fix order</x:v>
      </x:c>
      <x:c r="H1" s="10" t="str">
        <x:v>Branch</x:v>
      </x:c>
      <x:c r="I1" s="10" t="str">
        <x:v>Commit/PR</x:v>
      </x:c>
      <x:c r="J1" s="10" t="str">
        <x:v>Verification</x:v>
      </x:c>
      <x:c r="K1" s="10" t="str">
        <x:v>Notes</x:v>
      </x:c>
    </x:row>
    <x:row r="2">
      <x:c r="A2" s="11" t="n">
        <x:v>1</x:v>
      </x:c>
      <x:c r="B2" s="11" t="str">
        <x:v>CRITICAL</x:v>
      </x:c>
      <x:c r="C2" s="11" t="str">
        <x:v>Exercises</x:v>
      </x:c>
      <x:c r="D2" s="11" t="str">
        <x:v>Add to Workout in Exercise Detail only closes the detail; it does not add the exercise to a workout.</x:v>
      </x:c>
      <x:c r="E2" s="11" t="str">
        <x:v>Open</x:v>
      </x:c>
      <x:c r="F2" s="11" t="str">
        <x:v>P0</x:v>
      </x:c>
      <x:c r="G2" s="11" t="n">
        <x:v>1</x:v>
      </x:c>
      <x:c r="H2" s="11" t="str"/>
      <x:c r="I2" s="11" t="str"/>
      <x:c r="J2" s="11" t="str"/>
      <x:c r="K2" s="11" t="str"/>
    </x:row>
    <x:row r="3">
      <x:c r="A3" s="11" t="n">
        <x:v>2</x:v>
      </x:c>
      <x:c r="B3" s="11" t="str">
        <x:v>CRITICAL</x:v>
      </x:c>
      <x:c r="C3" s="11" t="str">
        <x:v>Workout Runner</x:v>
      </x:c>
      <x:c r="D3" s="11" t="str">
        <x:v>Back / Leave without finishing can discard unsaved set drafts because current values are not committed first.</x:v>
      </x:c>
      <x:c r="E3" s="11" t="str">
        <x:v>Open</x:v>
      </x:c>
      <x:c r="F3" s="11" t="str">
        <x:v>P0</x:v>
      </x:c>
      <x:c r="G3" s="11" t="n">
        <x:v>2</x:v>
      </x:c>
      <x:c r="H3" s="11" t="str"/>
      <x:c r="I3" s="11" t="str"/>
      <x:c r="J3" s="11" t="str"/>
      <x:c r="K3" s="11" t="str"/>
    </x:row>
    <x:row r="4">
      <x:c r="A4" s="11" t="n">
        <x:v>3</x:v>
      </x:c>
      <x:c r="B4" s="11" t="str">
        <x:v>HIGH</x:v>
      </x:c>
      <x:c r="C4" s="11" t="str">
        <x:v>Workout Runner</x:v>
      </x:c>
      <x:c r="D4" s="11" t="str">
        <x:v>Set completion checkmarks exist only in React state and are not persisted.</x:v>
      </x:c>
      <x:c r="E4" s="11" t="str">
        <x:v>Open</x:v>
      </x:c>
      <x:c r="F4" s="11" t="str">
        <x:v>P0</x:v>
      </x:c>
      <x:c r="G4" s="11" t="n">
        <x:v>3</x:v>
      </x:c>
      <x:c r="H4" s="11" t="str"/>
      <x:c r="I4" s="11" t="str"/>
      <x:c r="J4" s="11" t="str"/>
      <x:c r="K4" s="11" t="str"/>
    </x:row>
    <x:row r="5">
      <x:c r="A5" s="11" t="n">
        <x:v>4</x:v>
      </x:c>
      <x:c r="B5" s="11" t="str">
        <x:v>HIGH</x:v>
      </x:c>
      <x:c r="C5" s="11" t="str">
        <x:v>Workout Runner</x:v>
      </x:c>
      <x:c r="D5" s="11" t="str">
        <x:v>Workout progress treats any existing entry as completed, regardless of actual set completion.</x:v>
      </x:c>
      <x:c r="E5" s="11" t="str">
        <x:v>Open</x:v>
      </x:c>
      <x:c r="F5" s="11" t="str">
        <x:v>P0</x:v>
      </x:c>
      <x:c r="G5" s="11" t="n">
        <x:v>4</x:v>
      </x:c>
      <x:c r="H5" s="11" t="str"/>
      <x:c r="I5" s="11" t="str"/>
      <x:c r="J5" s="11" t="str"/>
      <x:c r="K5" s="11" t="str"/>
    </x:row>
    <x:row r="6">
      <x:c r="A6" s="11" t="n">
        <x:v>5</x:v>
      </x:c>
      <x:c r="B6" s="11" t="str">
        <x:v>HIGH</x:v>
      </x:c>
      <x:c r="C6" s="11" t="str">
        <x:v>Progress Photos</x:v>
      </x:c>
      <x:c r="D6" s="11" t="str">
        <x:v>No delete action exists for progress photos even though storage errors recommend deleting old photos.</x:v>
      </x:c>
      <x:c r="E6" s="11" t="str">
        <x:v>Open</x:v>
      </x:c>
      <x:c r="F6" s="11" t="str">
        <x:v>P1</x:v>
      </x:c>
      <x:c r="G6" s="11" t="n">
        <x:v>5</x:v>
      </x:c>
      <x:c r="H6" s="11" t="str"/>
      <x:c r="I6" s="11" t="str"/>
      <x:c r="J6" s="11" t="str"/>
      <x:c r="K6" s="11" t="str"/>
    </x:row>
    <x:row r="7">
      <x:c r="A7" s="11" t="n">
        <x:v>6</x:v>
      </x:c>
      <x:c r="B7" s="11" t="str">
        <x:v>HIGH</x:v>
      </x:c>
      <x:c r="C7" s="11" t="str">
        <x:v>Progress Photos</x:v>
      </x:c>
      <x:c r="D7" s="11" t="str">
        <x:v>All Photos filter omits the right-side photo; it shows front, left, and back only.</x:v>
      </x:c>
      <x:c r="E7" s="11" t="str">
        <x:v>Open</x:v>
      </x:c>
      <x:c r="F7" s="11" t="str">
        <x:v>P1</x:v>
      </x:c>
      <x:c r="G7" s="11" t="n">
        <x:v>6</x:v>
      </x:c>
      <x:c r="H7" s="11" t="str"/>
      <x:c r="I7" s="11" t="str"/>
      <x:c r="J7" s="11" t="str"/>
      <x:c r="K7" s="11" t="str"/>
    </x:row>
    <x:row r="8">
      <x:c r="A8" s="11" t="n">
        <x:v>7</x:v>
      </x:c>
      <x:c r="B8" s="11" t="str">
        <x:v>HIGH</x:v>
      </x:c>
      <x:c r="C8" s="11" t="str">
        <x:v>CSS / UI</x:v>
      </x:c>
      <x:c r="D8" s="11" t="str">
        <x:v>Multiple global and feature CSS layers remain loaded together, making visual regressions across screens likely.</x:v>
      </x:c>
      <x:c r="E8" s="11" t="str">
        <x:v>Open</x:v>
      </x:c>
      <x:c r="F8" s="11" t="str">
        <x:v>P1</x:v>
      </x:c>
      <x:c r="G8" s="11" t="n">
        <x:v>7</x:v>
      </x:c>
      <x:c r="H8" s="11" t="str"/>
      <x:c r="I8" s="11" t="str"/>
      <x:c r="J8" s="11" t="str"/>
      <x:c r="K8" s="11" t="str"/>
    </x:row>
    <x:row r="9">
      <x:c r="A9" s="11" t="n">
        <x:v>8</x:v>
      </x:c>
      <x:c r="B9" s="11" t="str">
        <x:v>HIGH</x:v>
      </x:c>
      <x:c r="C9" s="11" t="str">
        <x:v>Testing</x:v>
      </x:c>
      <x:c r="D9" s="11" t="str">
        <x:v>No end-to-end smoke test covers Home → Start Workout → New Workout → Routine → Runner → Finish → Log.</x:v>
      </x:c>
      <x:c r="E9" s="11" t="str">
        <x:v>Open</x:v>
      </x:c>
      <x:c r="F9" s="11" t="str">
        <x:v>P1</x:v>
      </x:c>
      <x:c r="G9" s="11" t="n">
        <x:v>8</x:v>
      </x:c>
      <x:c r="H9" s="11" t="str"/>
      <x:c r="I9" s="11" t="str"/>
      <x:c r="J9" s="11" t="str"/>
      <x:c r="K9" s="11" t="str"/>
    </x:row>
    <x:row r="10">
      <x:c r="A10" s="11" t="n">
        <x:v>9</x:v>
      </x:c>
      <x:c r="B10" s="11" t="str">
        <x:v>HIGH</x:v>
      </x:c>
      <x:c r="C10" s="11" t="str">
        <x:v>App Shell</x:v>
      </x:c>
      <x:c r="D10" s="11" t="str">
        <x:v>ErrorBoundary has no reset/retry path and can leave the main area stuck until reload.</x:v>
      </x:c>
      <x:c r="E10" s="11" t="str">
        <x:v>Open</x:v>
      </x:c>
      <x:c r="F10" s="11" t="str">
        <x:v>P1</x:v>
      </x:c>
      <x:c r="G10" s="11" t="n">
        <x:v>9</x:v>
      </x:c>
      <x:c r="H10" s="11" t="str"/>
      <x:c r="I10" s="11" t="str"/>
      <x:c r="J10" s="11" t="str"/>
      <x:c r="K10" s="11" t="str"/>
    </x:row>
    <x:row r="11">
      <x:c r="A11" s="11" t="n">
        <x:v>10</x:v>
      </x:c>
      <x:c r="B11" s="11" t="str">
        <x:v>MEDIUM/HIGH</x:v>
      </x:c>
      <x:c r="C11" s="11" t="str">
        <x:v>Workout Plans</x:v>
      </x:c>
      <x:c r="D11" s="11" t="str">
        <x:v>updatePlan exists in the hook but routine editing / rename / reorder is not exposed in UI.</x:v>
      </x:c>
      <x:c r="E11" s="11" t="str">
        <x:v>Open</x:v>
      </x:c>
      <x:c r="F11" s="11" t="str">
        <x:v>P2</x:v>
      </x:c>
      <x:c r="G11" s="11" t="n">
        <x:v>10</x:v>
      </x:c>
      <x:c r="H11" s="11" t="str"/>
      <x:c r="I11" s="11" t="str"/>
      <x:c r="J11" s="11" t="str"/>
      <x:c r="K11" s="11" t="str"/>
    </x:row>
    <x:row r="12">
      <x:c r="A12" s="11" t="n">
        <x:v>11</x:v>
      </x:c>
      <x:c r="B12" s="11" t="str">
        <x:v>MEDIUM</x:v>
      </x:c>
      <x:c r="C12" s="11" t="str">
        <x:v>Workout Plans</x:v>
      </x:c>
      <x:c r="D12" s="11" t="str">
        <x:v>Deleting a saved routine has no confirmation step.</x:v>
      </x:c>
      <x:c r="E12" s="11" t="str">
        <x:v>Open</x:v>
      </x:c>
      <x:c r="F12" s="11" t="str">
        <x:v>P2</x:v>
      </x:c>
      <x:c r="G12" s="11" t="n">
        <x:v>11</x:v>
      </x:c>
      <x:c r="H12" s="11" t="str"/>
      <x:c r="I12" s="11" t="str"/>
      <x:c r="J12" s="11" t="str"/>
      <x:c r="K12" s="11" t="str"/>
    </x:row>
    <x:row r="13">
      <x:c r="A13" s="11" t="n">
        <x:v>12</x:v>
      </x:c>
      <x:c r="B13" s="11" t="str">
        <x:v>MEDIUM</x:v>
      </x:c>
      <x:c r="C13" s="11" t="str">
        <x:v>Workout Plans</x:v>
      </x:c>
      <x:c r="D13" s="11" t="str">
        <x:v>A routine silently starts with only surviving exercises after library deletions, without clearly warning that items are missing.</x:v>
      </x:c>
      <x:c r="E13" s="11" t="str">
        <x:v>Open</x:v>
      </x:c>
      <x:c r="F13" s="11" t="str">
        <x:v>P2</x:v>
      </x:c>
      <x:c r="G13" s="11" t="n">
        <x:v>12</x:v>
      </x:c>
      <x:c r="H13" s="11" t="str"/>
      <x:c r="I13" s="11" t="str"/>
      <x:c r="J13" s="11" t="str"/>
      <x:c r="K13" s="11" t="str"/>
    </x:row>
    <x:row r="14">
      <x:c r="A14" s="11" t="n">
        <x:v>13</x:v>
      </x:c>
      <x:c r="B14" s="11" t="str">
        <x:v>MEDIUM</x:v>
      </x:c>
      <x:c r="C14" s="11" t="str">
        <x:v>Import</x:v>
      </x:c>
      <x:c r="D14" s="11" t="str">
        <x:v>Partial backups can introduce orphan references because relationships are validated only when both referenced sections are present in the file.</x:v>
      </x:c>
      <x:c r="E14" s="11" t="str">
        <x:v>Open</x:v>
      </x:c>
      <x:c r="F14" s="11" t="str">
        <x:v>P2</x:v>
      </x:c>
      <x:c r="G14" s="11" t="n">
        <x:v>13</x:v>
      </x:c>
      <x:c r="H14" s="11" t="str"/>
      <x:c r="I14" s="11" t="str"/>
      <x:c r="J14" s="11" t="str"/>
      <x:c r="K14" s="11" t="str"/>
    </x:row>
    <x:row r="15">
      <x:c r="A15" s="11" t="n">
        <x:v>14</x:v>
      </x:c>
      <x:c r="B15" s="11" t="str">
        <x:v>MEDIUM</x:v>
      </x:c>
      <x:c r="C15" s="11" t="str">
        <x:v>Import</x:v>
      </x:c>
      <x:c r="D15" s="11" t="str">
        <x:v>Import completion count excludes restored profile, units, and progress photos.</x:v>
      </x:c>
      <x:c r="E15" s="11" t="str">
        <x:v>Open</x:v>
      </x:c>
      <x:c r="F15" s="11" t="str">
        <x:v>P2</x:v>
      </x:c>
      <x:c r="G15" s="11" t="n">
        <x:v>14</x:v>
      </x:c>
      <x:c r="H15" s="11" t="str"/>
      <x:c r="I15" s="11" t="str"/>
      <x:c r="J15" s="11" t="str"/>
      <x:c r="K15" s="11" t="str"/>
    </x:row>
    <x:row r="16">
      <x:c r="A16" s="11" t="n">
        <x:v>15</x:v>
      </x:c>
      <x:c r="B16" s="11" t="str">
        <x:v>MEDIUM</x:v>
      </x:c>
      <x:c r="C16" s="11" t="str">
        <x:v>IndexedDB</x:v>
      </x:c>
      <x:c r="D16" s="11" t="str">
        <x:v>IndexedDB connections are opened for operations but not explicitly closed.</x:v>
      </x:c>
      <x:c r="E16" s="11" t="str">
        <x:v>Open</x:v>
      </x:c>
      <x:c r="F16" s="11" t="str">
        <x:v>P2</x:v>
      </x:c>
      <x:c r="G16" s="11" t="n">
        <x:v>15</x:v>
      </x:c>
      <x:c r="H16" s="11" t="str"/>
      <x:c r="I16" s="11" t="str"/>
      <x:c r="J16" s="11" t="str"/>
      <x:c r="K16" s="11" t="str"/>
    </x:row>
    <x:row r="17">
      <x:c r="A17" s="11" t="n">
        <x:v>16</x:v>
      </x:c>
      <x:c r="B17" s="11" t="str">
        <x:v>MEDIUM</x:v>
      </x:c>
      <x:c r="C17" s="11" t="str">
        <x:v>PWA / Updates</x:v>
      </x:c>
      <x:c r="D17" s="11" t="str">
        <x:v>Service-worker update lifecycle is not tested end-to-end.</x:v>
      </x:c>
      <x:c r="E17" s="11" t="str">
        <x:v>Open</x:v>
      </x:c>
      <x:c r="F17" s="11" t="str">
        <x:v>P2</x:v>
      </x:c>
      <x:c r="G17" s="11" t="n">
        <x:v>16</x:v>
      </x:c>
      <x:c r="H17" s="11" t="str"/>
      <x:c r="I17" s="11" t="str"/>
      <x:c r="J17" s="11" t="str"/>
      <x:c r="K17" s="11" t="str"/>
    </x:row>
    <x:row r="18">
      <x:c r="A18" s="11" t="n">
        <x:v>17</x:v>
      </x:c>
      <x:c r="B18" s="11" t="str">
        <x:v>MEDIUM</x:v>
      </x:c>
      <x:c r="C18" s="11" t="str">
        <x:v>Home</x:v>
      </x:c>
      <x:c r="D18" s="11" t="str">
        <x:v>Notifications bell is an active-looking button with no action.</x:v>
      </x:c>
      <x:c r="E18" s="11" t="str">
        <x:v>Open</x:v>
      </x:c>
      <x:c r="F18" s="11" t="str">
        <x:v>P3</x:v>
      </x:c>
      <x:c r="G18" s="11" t="n">
        <x:v>17</x:v>
      </x:c>
      <x:c r="H18" s="11" t="str"/>
      <x:c r="I18" s="11" t="str"/>
      <x:c r="J18" s="11" t="str"/>
      <x:c r="K18" s="11" t="str"/>
    </x:row>
    <x:row r="19">
      <x:c r="A19" s="11" t="n">
        <x:v>18</x:v>
      </x:c>
      <x:c r="B19" s="11" t="str">
        <x:v>MEDIUM</x:v>
      </x:c>
      <x:c r="C19" s="11" t="str">
        <x:v>Navigation</x:v>
      </x:c>
      <x:c r="D19" s="11" t="str">
        <x:v>Navigation uses local React state only; reload returns to Home and browser history does not represent app navigation.</x:v>
      </x:c>
      <x:c r="E19" s="11" t="str">
        <x:v>Open</x:v>
      </x:c>
      <x:c r="F19" s="11" t="str">
        <x:v>P3</x:v>
      </x:c>
      <x:c r="G19" s="11" t="n">
        <x:v>18</x:v>
      </x:c>
      <x:c r="H19" s="11" t="str"/>
      <x:c r="I19" s="11" t="str"/>
      <x:c r="J19" s="11" t="str"/>
      <x:c r="K19" s="11" t="str"/>
    </x:row>
    <x:row r="20">
      <x:c r="A20" s="11" t="n">
        <x:v>19</x:v>
      </x:c>
      <x:c r="B20" s="11" t="str">
        <x:v>MEDIUM</x:v>
      </x:c>
      <x:c r="C20" s="11" t="str">
        <x:v>Workout Runner</x:v>
      </x:c>
      <x:c r="D20" s="11" t="str">
        <x:v>Active workout drafts are not persisted; crash, refresh, update, or app close before commit can lose them.</x:v>
      </x:c>
      <x:c r="E20" s="11" t="str">
        <x:v>Open</x:v>
      </x:c>
      <x:c r="F20" s="11" t="str">
        <x:v>P1</x:v>
      </x:c>
      <x:c r="G20" s="11" t="n">
        <x:v>3</x:v>
      </x:c>
      <x:c r="H20" s="11" t="str"/>
      <x:c r="I20" s="11" t="str"/>
      <x:c r="J20" s="11" t="str"/>
      <x:c r="K20" s="11" t="str">
        <x:v>Group with #2–#4</x:v>
      </x:c>
    </x:row>
    <x:row r="21">
      <x:c r="A21" s="11" t="n">
        <x:v>20</x:v>
      </x:c>
      <x:c r="B21" s="11" t="str">
        <x:v>LOW/MEDIUM</x:v>
      </x:c>
      <x:c r="C21" s="11" t="str">
        <x:v>Documentation</x:v>
      </x:c>
      <x:c r="D21" s="11" t="str">
        <x:v>ROADMAP still marks workout plans as incomplete although Saved Routines / workout-plans are implemented.</x:v>
      </x:c>
      <x:c r="E21" s="11" t="str">
        <x:v>Open</x:v>
      </x:c>
      <x:c r="F21" s="11" t="str">
        <x:v>P3</x:v>
      </x:c>
      <x:c r="G21" s="11" t="n">
        <x:v>20</x:v>
      </x:c>
      <x:c r="H21" s="11" t="str"/>
      <x:c r="I21" s="11" t="str"/>
      <x:c r="J21" s="11" t="str"/>
      <x:c r="K21" s="11" t="str"/>
    </x:row>
    <x:row r="22">
      <x:c r="A22" s="11" t="n">
        <x:v>21</x:v>
      </x:c>
      <x:c r="B22" s="11" t="str">
        <x:v>LOW/MEDIUM</x:v>
      </x:c>
      <x:c r="C22" s="11" t="str">
        <x:v>Documentation</x:v>
      </x:c>
      <x:c r="D22" s="11" t="str">
        <x:v>Visual 'done' status is mixed with functional completeness, which can mislead future work.</x:v>
      </x:c>
      <x:c r="E22" s="11" t="str">
        <x:v>Open</x:v>
      </x:c>
      <x:c r="F22" s="11" t="str">
        <x:v>P3</x:v>
      </x:c>
      <x:c r="G22" s="11" t="n">
        <x:v>21</x:v>
      </x:c>
      <x:c r="H22" s="11" t="str"/>
      <x:c r="I22" s="11" t="str"/>
      <x:c r="J22" s="11" t="str"/>
      <x:c r="K22" s="11" t="str"/>
    </x:row>
    <x:row r="23">
      <x:c r="A23" s="11" t="n">
        <x:v>22</x:v>
      </x:c>
      <x:c r="B23" s="11" t="str">
        <x:v>LOW</x:v>
      </x:c>
      <x:c r="C23" s="11" t="str">
        <x:v>PWA / Deploy</x:v>
      </x:c>
      <x:c r="D23" s="11" t="str">
        <x:v>Service-worker and manifest paths are hard-coded to /GYM-APP/, reducing portability to another root/domain.</x:v>
      </x:c>
      <x:c r="E23" s="11" t="str">
        <x:v>Open</x:v>
      </x:c>
      <x:c r="F23" s="11" t="str">
        <x:v>P4</x:v>
      </x:c>
      <x:c r="G23" s="11" t="n">
        <x:v>22</x:v>
      </x:c>
      <x:c r="H23" s="11" t="str"/>
      <x:c r="I23" s="11" t="str"/>
      <x:c r="J23" s="11" t="str"/>
      <x:c r="K23" s="11" t="str"/>
    </x:row>
    <x:row r="24">
      <x:c r="A24" s="11" t="n">
        <x:v>23</x:v>
      </x:c>
      <x:c r="B24" s="11" t="str">
        <x:v>LOW</x:v>
      </x:c>
      <x:c r="C24" s="11" t="str">
        <x:v>Backup / Export</x:v>
      </x:c>
      <x:c r="D24" s="11" t="str">
        <x:v>Backup format uses version 1.2 but has no explicit migration framework beyond tolerant parsers.</x:v>
      </x:c>
      <x:c r="E24" s="11" t="str">
        <x:v>Open</x:v>
      </x:c>
      <x:c r="F24" s="11" t="str">
        <x:v>P4</x:v>
      </x:c>
      <x:c r="G24" s="11" t="n">
        <x:v>23</x:v>
      </x:c>
      <x:c r="H24" s="11" t="str"/>
      <x:c r="I24" s="11" t="str"/>
      <x:c r="J24" s="11" t="str"/>
      <x:c r="K24" s="11" t="str"/>
    </x:row>
    <x:row r="25">
      <x:c r="A25" s="11" t="n">
        <x:v>24</x:v>
      </x:c>
      <x:c r="B25" s="11" t="str">
        <x:v>LOW</x:v>
      </x:c>
      <x:c r="C25" s="11" t="str">
        <x:v>Progress Photos</x:v>
      </x:c>
      <x:c r="D25" s="11" t="str">
        <x:v>ProgressPhotosPage weakens type safety with Record&lt;string, Blob&gt; and an any cast instead of Record&lt;PhotoAngle, Blob&gt;.</x:v>
      </x:c>
      <x:c r="E25" s="11" t="str">
        <x:v>Open</x:v>
      </x:c>
      <x:c r="F25" s="11" t="str">
        <x:v>P4</x:v>
      </x:c>
      <x:c r="G25" s="11" t="n">
        <x:v>24</x:v>
      </x:c>
      <x:c r="H25" s="11" t="str"/>
      <x:c r="I25" s="11" t="str"/>
      <x:c r="J25" s="11" t="str"/>
      <x:c r="K25" s="11" t="str"/>
    </x:row>
  </x:sheetData>
  <x:conditionalFormatting sqref="B2:B200">
    <x:cfRule type="expression" dxfId="0" priority="1">
      <x:formula>$B2="CRITICAL"</x:formula>
    </x:cfRule>
    <x:cfRule type="expression" dxfId="1" priority="2">
      <x:formula>$B2="HIGH"</x:formula>
    </x:cfRule>
  </x:conditionalFormatting>
  <x:conditionalFormatting sqref="E2:E200">
    <x:cfRule type="expression" dxfId="2" priority="3">
      <x:formula>$E2="Verified"</x:formula>
    </x:cfRule>
    <x:cfRule type="expression" dxfId="3" priority="4">
      <x:formula>$E2="Promoted"</x:formula>
    </x:cfRule>
    <x:cfRule type="expression" dxfId="4" priority="5">
      <x:formula>$E2="Blocked"</x:formula>
    </x:cfRule>
  </x:conditionalFormatting>
  <x:dataValidations count="3">
    <x:dataValidation type="list" sqref="E2:E200">
      <x:formula1>"Open,In Progress,Blocked,Ready for Verify,Verified,Promoted,Won't Fix"</x:formula1>
    </x:dataValidation>
    <x:dataValidation type="list" sqref="F2:F200">
      <x:formula1>"P0,P1,P2,P3,P4"</x:formula1>
    </x:dataValidation>
    <x:dataValidation type="list" sqref="B2:B200">
      <x:formula1>"CRITICAL,HIGH,MEDIUM/HIGH,MEDIUM,LOW/MEDIUM,LOW"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ab65c6ade344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0" hidden="0" customWidth="1"/>
  </x:cols>
  <x:sheetData>
    <x:row r="1">
      <x:c r="A1" s="14" t="str">
        <x:v>Severity</x:v>
      </x:c>
      <x:c r="B1" s="14" t="str">
        <x:v>Count</x:v>
      </x:c>
      <x:c r="C1" s="14" t="str">
        <x:v>Open</x:v>
      </x:c>
      <x:c r="D1" s="14" t="str">
        <x:v>Verified/Promoted</x:v>
      </x:c>
    </x:row>
    <x:row r="2">
      <x:c r="A2" s="11" t="str">
        <x:v>CRITICAL</x:v>
      </x:c>
      <x:c r="B2" s="11" t="n">
        <x:f>COUNTIF('Audit Register'!$B$2:$B$200,A2)</x:f>
        <x:v>2</x:v>
      </x:c>
      <x:c r="C2" s="11" t="n">
        <x:f>COUNTIFS('Audit Register'!$B$2:$B$200,A2,'Audit Register'!$E$2:$E$200,"Open")</x:f>
        <x:v>2</x:v>
      </x:c>
      <x:c r="D2" s="11" t="n">
        <x:f>COUNTIFS('Audit Register'!$B$2:$B$200,A2,'Audit Register'!$E$2:$E$200,"Verified")+COUNTIFS('Audit Register'!$B$2:$B$200,A2,'Audit Register'!$E$2:$E$200,"Promoted")</x:f>
        <x:v>0</x:v>
      </x:c>
    </x:row>
    <x:row r="3">
      <x:c r="A3" s="11" t="str">
        <x:v>HIGH</x:v>
      </x:c>
      <x:c r="B3" s="11" t="n">
        <x:f>COUNTIF('Audit Register'!$B$2:$B$200,A3)</x:f>
        <x:v>7</x:v>
      </x:c>
      <x:c r="C3" s="11" t="n">
        <x:f>COUNTIFS('Audit Register'!$B$2:$B$200,A3,'Audit Register'!$E$2:$E$200,"Open")</x:f>
        <x:v>7</x:v>
      </x:c>
      <x:c r="D3" s="11" t="n">
        <x:f>COUNTIFS('Audit Register'!$B$2:$B$200,A3,'Audit Register'!$E$2:$E$200,"Verified")+COUNTIFS('Audit Register'!$B$2:$B$200,A3,'Audit Register'!$E$2:$E$200,"Promoted")</x:f>
        <x:v>0</x:v>
      </x:c>
    </x:row>
    <x:row r="4">
      <x:c r="A4" s="11" t="str">
        <x:v>MEDIUM/HIGH</x:v>
      </x:c>
      <x:c r="B4" s="11" t="n">
        <x:f>COUNTIF('Audit Register'!$B$2:$B$200,A4)</x:f>
        <x:v>1</x:v>
      </x:c>
      <x:c r="C4" s="11" t="n">
        <x:f>COUNTIFS('Audit Register'!$B$2:$B$200,A4,'Audit Register'!$E$2:$E$200,"Open")</x:f>
        <x:v>1</x:v>
      </x:c>
      <x:c r="D4" s="11" t="n">
        <x:f>COUNTIFS('Audit Register'!$B$2:$B$200,A4,'Audit Register'!$E$2:$E$200,"Verified")+COUNTIFS('Audit Register'!$B$2:$B$200,A4,'Audit Register'!$E$2:$E$200,"Promoted")</x:f>
        <x:v>0</x:v>
      </x:c>
    </x:row>
    <x:row r="5">
      <x:c r="A5" s="11" t="str">
        <x:v>MEDIUM</x:v>
      </x:c>
      <x:c r="B5" s="11" t="n">
        <x:f>COUNTIF('Audit Register'!$B$2:$B$200,A5)</x:f>
        <x:v>9</x:v>
      </x:c>
      <x:c r="C5" s="11" t="n">
        <x:f>COUNTIFS('Audit Register'!$B$2:$B$200,A5,'Audit Register'!$E$2:$E$200,"Open")</x:f>
        <x:v>9</x:v>
      </x:c>
      <x:c r="D5" s="11" t="n">
        <x:f>COUNTIFS('Audit Register'!$B$2:$B$200,A5,'Audit Register'!$E$2:$E$200,"Verified")+COUNTIFS('Audit Register'!$B$2:$B$200,A5,'Audit Register'!$E$2:$E$200,"Promoted")</x:f>
        <x:v>0</x:v>
      </x:c>
    </x:row>
    <x:row r="6">
      <x:c r="A6" s="11" t="str">
        <x:v>LOW/MEDIUM</x:v>
      </x:c>
      <x:c r="B6" s="11" t="n">
        <x:f>COUNTIF('Audit Register'!$B$2:$B$200,A6)</x:f>
        <x:v>2</x:v>
      </x:c>
      <x:c r="C6" s="11" t="n">
        <x:f>COUNTIFS('Audit Register'!$B$2:$B$200,A6,'Audit Register'!$E$2:$E$200,"Open")</x:f>
        <x:v>2</x:v>
      </x:c>
      <x:c r="D6" s="11" t="n">
        <x:f>COUNTIFS('Audit Register'!$B$2:$B$200,A6,'Audit Register'!$E$2:$E$200,"Verified")+COUNTIFS('Audit Register'!$B$2:$B$200,A6,'Audit Register'!$E$2:$E$200,"Promoted")</x:f>
        <x:v>0</x:v>
      </x:c>
    </x:row>
    <x:row r="7">
      <x:c r="A7" s="11" t="str">
        <x:v>LOW</x:v>
      </x:c>
      <x:c r="B7" s="11" t="n">
        <x:f>COUNTIF('Audit Register'!$B$2:$B$200,A7)</x:f>
        <x:v>3</x:v>
      </x:c>
      <x:c r="C7" s="11" t="n">
        <x:f>COUNTIFS('Audit Register'!$B$2:$B$200,A7,'Audit Register'!$E$2:$E$200,"Open")</x:f>
        <x:v>3</x:v>
      </x:c>
      <x:c r="D7" s="11" t="n">
        <x:f>COUNTIFS('Audit Register'!$B$2:$B$200,A7,'Audit Register'!$E$2:$E$200,"Verified")+COUNTIFS('Audit Register'!$B$2:$B$200,A7,'Audit Register'!$E$2:$E$200,"Promoted")</x:f>
        <x:v>0</x:v>
      </x:c>
    </x:row>
    <x:row r="8">
      <x:c r="A8" s="11"/>
      <x:c r="B8" s="11"/>
      <x:c r="C8" s="11"/>
      <x:c r="D8" s="11"/>
    </x:row>
    <x:row r="9">
      <x:c r="A9" s="11" t="str">
        <x:v>Total issues</x:v>
      </x:c>
      <x:c r="B9" s="11" t="n">
        <x:f>COUNTA('Audit Register'!A2:A200)</x:f>
        <x:v>24</x:v>
      </x:c>
      <x:c r="C9" s="11"/>
      <x:c r="D9" s="11"/>
    </x:row>
    <x:row r="10">
      <x:c r="A10" s="11" t="str">
        <x:v>Open</x:v>
      </x:c>
      <x:c r="B10" s="11" t="n">
        <x:f>COUNTIF('Audit Register'!E2:E200,"Open")</x:f>
        <x:v>24</x:v>
      </x:c>
      <x:c r="C10" s="11"/>
      <x:c r="D10" s="11"/>
    </x:row>
    <x:row r="11">
      <x:c r="A11" s="11" t="str">
        <x:v>In Progress</x:v>
      </x:c>
      <x:c r="B11" s="11" t="n">
        <x:f>COUNTIF('Audit Register'!E2:E200,"In Progress")</x:f>
        <x:v>0</x:v>
      </x:c>
      <x:c r="C11" s="11"/>
      <x:c r="D11" s="11"/>
    </x:row>
    <x:row r="12">
      <x:c r="A12" s="11" t="str">
        <x:v>Verified</x:v>
      </x:c>
      <x:c r="B12" s="11" t="n">
        <x:f>COUNTIF('Audit Register'!E2:E200,"Verified")</x:f>
        <x:v>0</x:v>
      </x:c>
      <x:c r="C12" s="11"/>
      <x:c r="D12" s="11"/>
    </x:row>
    <x:row r="13">
      <x:c r="A13" s="11" t="str">
        <x:v>Promoted</x:v>
      </x:c>
      <x:c r="B13" s="11" t="n">
        <x:f>COUNTIF('Audit Register'!E2:E200,"Promoted")</x:f>
        <x:v>0</x:v>
      </x:c>
      <x:c r="C13" s="11"/>
      <x:c r="D13" s="11"/>
    </x:row>
  </x:sheetData>
  <x:pageMargins left="0.7" right="0.7" top="0.75" bottom="0.75" header="0.3" footer="0.3"/>
</x:worksheet>
</file>